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v\Lavoro\"/>
    </mc:Choice>
  </mc:AlternateContent>
  <xr:revisionPtr revIDLastSave="0" documentId="13_ncr:1_{08201A96-77F9-4FF5-B2D5-958592347652}" xr6:coauthVersionLast="47" xr6:coauthVersionMax="47" xr10:uidLastSave="{00000000-0000-0000-0000-000000000000}"/>
  <bookViews>
    <workbookView xWindow="13995" yWindow="75" windowWidth="32745" windowHeight="15435" xr2:uid="{00000000-000D-0000-FFFF-FFFF00000000}"/>
  </bookViews>
  <sheets>
    <sheet name="Eboli-SA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7" i="1" l="1"/>
  <c r="Q37" i="1"/>
  <c r="Q17" i="1"/>
  <c r="Q19" i="1" s="1"/>
  <c r="Q6" i="1"/>
  <c r="Q20" i="1" s="1"/>
  <c r="Q21" i="1" s="1"/>
  <c r="AH37" i="1"/>
  <c r="AH17" i="1"/>
  <c r="AH19" i="1" s="1"/>
  <c r="AH6" i="1"/>
  <c r="AH20" i="1" s="1"/>
  <c r="AH21" i="1" s="1"/>
  <c r="AG17" i="1"/>
  <c r="AG19" i="1" s="1"/>
  <c r="B37" i="1"/>
  <c r="C37" i="1"/>
  <c r="D37" i="1"/>
  <c r="E37" i="1"/>
  <c r="F37" i="1"/>
  <c r="AG37" i="1"/>
  <c r="AG6" i="1"/>
  <c r="Q22" i="1" l="1"/>
  <c r="Q25" i="1"/>
  <c r="Q38" i="1" s="1"/>
  <c r="AH22" i="1"/>
  <c r="AH25" i="1"/>
  <c r="AH38" i="1" s="1"/>
  <c r="Z42" i="1" s="1"/>
  <c r="AB42" i="1" s="1"/>
  <c r="AG20" i="1"/>
  <c r="AG21" i="1" s="1"/>
  <c r="Z44" i="1"/>
  <c r="AB44" i="1" s="1"/>
  <c r="Z43" i="1"/>
  <c r="AB43" i="1" s="1"/>
  <c r="H37" i="1"/>
  <c r="H17" i="1"/>
  <c r="H19" i="1" s="1"/>
  <c r="H6" i="1"/>
  <c r="H20" i="1" s="1"/>
  <c r="H21" i="1" s="1"/>
  <c r="Q24" i="1" l="1"/>
  <c r="AG22" i="1"/>
  <c r="AG24" i="1" s="1"/>
  <c r="AH24" i="1"/>
  <c r="AG25" i="1"/>
  <c r="AG38" i="1" s="1"/>
  <c r="Z41" i="1" s="1"/>
  <c r="H25" i="1"/>
  <c r="H38" i="1" s="1"/>
  <c r="Z40" i="1" s="1"/>
  <c r="AB40" i="1" s="1"/>
  <c r="H22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P37" i="1"/>
  <c r="O37" i="1"/>
  <c r="N37" i="1"/>
  <c r="M37" i="1"/>
  <c r="L37" i="1"/>
  <c r="K37" i="1"/>
  <c r="J37" i="1"/>
  <c r="I37" i="1"/>
  <c r="G37" i="1"/>
  <c r="H24" i="1" l="1"/>
  <c r="AF17" i="1"/>
  <c r="AF19" i="1" s="1"/>
  <c r="AE17" i="1"/>
  <c r="AE19" i="1" s="1"/>
  <c r="AD17" i="1"/>
  <c r="AD19" i="1" s="1"/>
  <c r="AC17" i="1"/>
  <c r="AC19" i="1" s="1"/>
  <c r="AB17" i="1"/>
  <c r="AB19" i="1" s="1"/>
  <c r="AA17" i="1"/>
  <c r="AA19" i="1" s="1"/>
  <c r="Z17" i="1"/>
  <c r="Z19" i="1" s="1"/>
  <c r="Y17" i="1"/>
  <c r="Y19" i="1" s="1"/>
  <c r="X17" i="1"/>
  <c r="X19" i="1" s="1"/>
  <c r="W17" i="1"/>
  <c r="W19" i="1" s="1"/>
  <c r="V17" i="1"/>
  <c r="V19" i="1" s="1"/>
  <c r="U17" i="1"/>
  <c r="U19" i="1" s="1"/>
  <c r="T17" i="1"/>
  <c r="T19" i="1" s="1"/>
  <c r="S17" i="1"/>
  <c r="S19" i="1" s="1"/>
  <c r="R17" i="1"/>
  <c r="R19" i="1" s="1"/>
  <c r="P17" i="1"/>
  <c r="P19" i="1" s="1"/>
  <c r="O17" i="1"/>
  <c r="O19" i="1" s="1"/>
  <c r="N17" i="1"/>
  <c r="N19" i="1" s="1"/>
  <c r="M17" i="1"/>
  <c r="M19" i="1" s="1"/>
  <c r="L17" i="1"/>
  <c r="L19" i="1" s="1"/>
  <c r="K17" i="1"/>
  <c r="K19" i="1" s="1"/>
  <c r="J17" i="1"/>
  <c r="J19" i="1" s="1"/>
  <c r="I17" i="1"/>
  <c r="I19" i="1" s="1"/>
  <c r="G17" i="1"/>
  <c r="G19" i="1" s="1"/>
  <c r="F17" i="1"/>
  <c r="F19" i="1" s="1"/>
  <c r="E17" i="1"/>
  <c r="E19" i="1" s="1"/>
  <c r="D17" i="1"/>
  <c r="D19" i="1" s="1"/>
  <c r="C17" i="1"/>
  <c r="C19" i="1" s="1"/>
  <c r="B17" i="1"/>
  <c r="B19" i="1" s="1"/>
  <c r="AA39" i="1" l="1"/>
  <c r="AF6" i="1"/>
  <c r="AF20" i="1" l="1"/>
  <c r="AF21" i="1" s="1"/>
  <c r="AF22" i="1" l="1"/>
  <c r="AF24" i="1" s="1"/>
  <c r="AF25" i="1"/>
  <c r="AF38" i="1" s="1"/>
  <c r="V44" i="1" s="1"/>
  <c r="X44" i="1" s="1"/>
  <c r="AE6" i="1"/>
  <c r="AD6" i="1"/>
  <c r="AC6" i="1"/>
  <c r="AC20" i="1" s="1"/>
  <c r="AC21" i="1" s="1"/>
  <c r="AB6" i="1"/>
  <c r="AB20" i="1" s="1"/>
  <c r="AA6" i="1"/>
  <c r="AA20" i="1" s="1"/>
  <c r="AA21" i="1" s="1"/>
  <c r="Z6" i="1"/>
  <c r="Z20" i="1" s="1"/>
  <c r="Z21" i="1" s="1"/>
  <c r="S52" i="1"/>
  <c r="B6" i="1"/>
  <c r="B20" i="1" s="1"/>
  <c r="B21" i="1" s="1"/>
  <c r="C6" i="1"/>
  <c r="D6" i="1"/>
  <c r="E6" i="1"/>
  <c r="F6" i="1"/>
  <c r="F20" i="1" s="1"/>
  <c r="F21" i="1" s="1"/>
  <c r="G6" i="1"/>
  <c r="G20" i="1" s="1"/>
  <c r="G21" i="1" s="1"/>
  <c r="I6" i="1"/>
  <c r="I20" i="1" s="1"/>
  <c r="I21" i="1" s="1"/>
  <c r="J6" i="1"/>
  <c r="J20" i="1" s="1"/>
  <c r="J21" i="1" s="1"/>
  <c r="K6" i="1"/>
  <c r="K20" i="1" s="1"/>
  <c r="K21" i="1" s="1"/>
  <c r="L6" i="1"/>
  <c r="L20" i="1" s="1"/>
  <c r="L21" i="1" s="1"/>
  <c r="M6" i="1"/>
  <c r="N6" i="1"/>
  <c r="N20" i="1" s="1"/>
  <c r="N21" i="1" s="1"/>
  <c r="O6" i="1"/>
  <c r="O20" i="1" s="1"/>
  <c r="O21" i="1" s="1"/>
  <c r="P6" i="1"/>
  <c r="P20" i="1" s="1"/>
  <c r="P21" i="1" s="1"/>
  <c r="R6" i="1"/>
  <c r="R20" i="1" s="1"/>
  <c r="R21" i="1" s="1"/>
  <c r="S6" i="1"/>
  <c r="T6" i="1"/>
  <c r="U6" i="1"/>
  <c r="U20" i="1" s="1"/>
  <c r="U21" i="1" s="1"/>
  <c r="V6" i="1"/>
  <c r="V20" i="1" s="1"/>
  <c r="V21" i="1" s="1"/>
  <c r="W6" i="1"/>
  <c r="W20" i="1" s="1"/>
  <c r="W21" i="1" s="1"/>
  <c r="X6" i="1"/>
  <c r="X20" i="1" s="1"/>
  <c r="X21" i="1" s="1"/>
  <c r="Y6" i="1"/>
  <c r="Y20" i="1" s="1"/>
  <c r="Y21" i="1" s="1"/>
  <c r="H52" i="1"/>
  <c r="AB25" i="1" l="1"/>
  <c r="AB38" i="1" s="1"/>
  <c r="N44" i="1" s="1"/>
  <c r="P44" i="1" s="1"/>
  <c r="AB21" i="1"/>
  <c r="Y25" i="1"/>
  <c r="Y38" i="1" s="1"/>
  <c r="R43" i="1" s="1"/>
  <c r="T43" i="1" s="1"/>
  <c r="S20" i="1"/>
  <c r="S21" i="1" s="1"/>
  <c r="M20" i="1"/>
  <c r="M21" i="1" s="1"/>
  <c r="AD20" i="1"/>
  <c r="AD21" i="1" s="1"/>
  <c r="AE20" i="1"/>
  <c r="AE21" i="1" s="1"/>
  <c r="T20" i="1"/>
  <c r="T21" i="1" s="1"/>
  <c r="E20" i="1"/>
  <c r="E21" i="1" s="1"/>
  <c r="D20" i="1"/>
  <c r="D21" i="1" s="1"/>
  <c r="C20" i="1"/>
  <c r="C21" i="1" s="1"/>
  <c r="Y22" i="1"/>
  <c r="X25" i="1"/>
  <c r="X38" i="1" s="1"/>
  <c r="R42" i="1" s="1"/>
  <c r="T42" i="1" s="1"/>
  <c r="X22" i="1"/>
  <c r="W22" i="1"/>
  <c r="W25" i="1"/>
  <c r="W38" i="1" s="1"/>
  <c r="R41" i="1" s="1"/>
  <c r="T41" i="1" s="1"/>
  <c r="V25" i="1"/>
  <c r="V38" i="1" s="1"/>
  <c r="R40" i="1" s="1"/>
  <c r="T40" i="1" s="1"/>
  <c r="V22" i="1"/>
  <c r="U22" i="1"/>
  <c r="U25" i="1"/>
  <c r="U38" i="1" s="1"/>
  <c r="N43" i="1" s="1"/>
  <c r="P43" i="1" s="1"/>
  <c r="R22" i="1"/>
  <c r="R25" i="1"/>
  <c r="R38" i="1" s="1"/>
  <c r="N40" i="1" s="1"/>
  <c r="P40" i="1" s="1"/>
  <c r="P22" i="1"/>
  <c r="P25" i="1"/>
  <c r="P38" i="1" s="1"/>
  <c r="J43" i="1" s="1"/>
  <c r="L43" i="1" s="1"/>
  <c r="O22" i="1"/>
  <c r="O25" i="1"/>
  <c r="O38" i="1" s="1"/>
  <c r="J42" i="1" s="1"/>
  <c r="L42" i="1" s="1"/>
  <c r="N22" i="1"/>
  <c r="N25" i="1"/>
  <c r="N38" i="1" s="1"/>
  <c r="J41" i="1" s="1"/>
  <c r="L41" i="1" s="1"/>
  <c r="L22" i="1"/>
  <c r="L25" i="1"/>
  <c r="L38" i="1" s="1"/>
  <c r="F43" i="1" s="1"/>
  <c r="H43" i="1" s="1"/>
  <c r="K22" i="1"/>
  <c r="K24" i="1" s="1"/>
  <c r="K25" i="1"/>
  <c r="K38" i="1" s="1"/>
  <c r="F42" i="1" s="1"/>
  <c r="H42" i="1" s="1"/>
  <c r="J25" i="1"/>
  <c r="J38" i="1" s="1"/>
  <c r="F41" i="1" s="1"/>
  <c r="H41" i="1" s="1"/>
  <c r="J22" i="1"/>
  <c r="J24" i="1" s="1"/>
  <c r="I22" i="1"/>
  <c r="I24" i="1" s="1"/>
  <c r="I25" i="1"/>
  <c r="I38" i="1" s="1"/>
  <c r="F44" i="1" s="1"/>
  <c r="H44" i="1" s="1"/>
  <c r="G22" i="1"/>
  <c r="G25" i="1"/>
  <c r="G38" i="1" s="1"/>
  <c r="F40" i="1" s="1"/>
  <c r="H40" i="1" s="1"/>
  <c r="Z22" i="1"/>
  <c r="Z25" i="1"/>
  <c r="Z38" i="1" s="1"/>
  <c r="V40" i="1" s="1"/>
  <c r="X40" i="1" s="1"/>
  <c r="AA22" i="1"/>
  <c r="AA24" i="1" s="1"/>
  <c r="AA25" i="1"/>
  <c r="AA38" i="1" s="1"/>
  <c r="V41" i="1" s="1"/>
  <c r="X41" i="1" s="1"/>
  <c r="AB22" i="1"/>
  <c r="AC22" i="1"/>
  <c r="AC24" i="1" s="1"/>
  <c r="AC25" i="1"/>
  <c r="AC38" i="1" s="1"/>
  <c r="F25" i="1"/>
  <c r="F38" i="1" s="1"/>
  <c r="B44" i="1" s="1"/>
  <c r="D44" i="1" s="1"/>
  <c r="F22" i="1"/>
  <c r="I39" i="1" l="1"/>
  <c r="AD22" i="1"/>
  <c r="AD24" i="1" s="1"/>
  <c r="T22" i="1"/>
  <c r="T24" i="1" s="1"/>
  <c r="AD25" i="1"/>
  <c r="AD38" i="1" s="1"/>
  <c r="V42" i="1" s="1"/>
  <c r="X42" i="1" s="1"/>
  <c r="AB24" i="1"/>
  <c r="Y24" i="1"/>
  <c r="W24" i="1"/>
  <c r="S22" i="1"/>
  <c r="S24" i="1" s="1"/>
  <c r="S25" i="1"/>
  <c r="S38" i="1" s="1"/>
  <c r="N41" i="1" s="1"/>
  <c r="P41" i="1" s="1"/>
  <c r="X24" i="1"/>
  <c r="M22" i="1"/>
  <c r="M24" i="1" s="1"/>
  <c r="J44" i="1"/>
  <c r="L44" i="1" s="1"/>
  <c r="T25" i="1"/>
  <c r="T38" i="1" s="1"/>
  <c r="N42" i="1" s="1"/>
  <c r="P42" i="1" s="1"/>
  <c r="M25" i="1"/>
  <c r="M38" i="1" s="1"/>
  <c r="J40" i="1" s="1"/>
  <c r="L40" i="1" s="1"/>
  <c r="V24" i="1"/>
  <c r="U24" i="1"/>
  <c r="C25" i="1"/>
  <c r="C38" i="1" s="1"/>
  <c r="B41" i="1" s="1"/>
  <c r="C22" i="1"/>
  <c r="C24" i="1" s="1"/>
  <c r="AE25" i="1"/>
  <c r="AE38" i="1" s="1"/>
  <c r="V43" i="1" s="1"/>
  <c r="X43" i="1" s="1"/>
  <c r="AE22" i="1"/>
  <c r="AE24" i="1" s="1"/>
  <c r="P24" i="1"/>
  <c r="E22" i="1"/>
  <c r="E24" i="1" s="1"/>
  <c r="D25" i="1"/>
  <c r="D38" i="1" s="1"/>
  <c r="D22" i="1"/>
  <c r="D24" i="1" s="1"/>
  <c r="F24" i="1"/>
  <c r="Z24" i="1"/>
  <c r="G24" i="1"/>
  <c r="L24" i="1"/>
  <c r="O24" i="1"/>
  <c r="R24" i="1"/>
  <c r="E25" i="1"/>
  <c r="E38" i="1" s="1"/>
  <c r="R44" i="1"/>
  <c r="T44" i="1" s="1"/>
  <c r="AB41" i="1"/>
  <c r="N24" i="1"/>
  <c r="B22" i="1"/>
  <c r="B25" i="1"/>
  <c r="B38" i="1" s="1"/>
  <c r="L39" i="1" l="1"/>
  <c r="Q39" i="1" s="1"/>
  <c r="B43" i="1"/>
  <c r="D43" i="1" s="1"/>
  <c r="B42" i="1"/>
  <c r="D42" i="1" s="1"/>
  <c r="D41" i="1"/>
  <c r="B40" i="1"/>
  <c r="D40" i="1" s="1"/>
  <c r="B24" i="1"/>
  <c r="D39" i="1" s="1"/>
  <c r="AD39" i="1" s="1"/>
  <c r="AA45" i="1" l="1"/>
  <c r="AA49" i="1" s="1"/>
  <c r="AA51" i="1" s="1"/>
  <c r="W39" i="1"/>
</calcChain>
</file>

<file path=xl/sharedStrings.xml><?xml version="1.0" encoding="utf-8"?>
<sst xmlns="http://schemas.openxmlformats.org/spreadsheetml/2006/main" count="38" uniqueCount="34">
  <si>
    <t>Resa</t>
  </si>
  <si>
    <t>Costo</t>
  </si>
  <si>
    <t xml:space="preserve">Costo tot. </t>
  </si>
  <si>
    <t>Vendita</t>
  </si>
  <si>
    <t>Utili</t>
  </si>
  <si>
    <t>Totale gen</t>
  </si>
  <si>
    <t>Conteggio parziale</t>
  </si>
  <si>
    <t>Totale sospesi</t>
  </si>
  <si>
    <t>Totale riscossi</t>
  </si>
  <si>
    <t>Totale II</t>
  </si>
  <si>
    <t>Totale I</t>
  </si>
  <si>
    <t>Resa tota</t>
  </si>
  <si>
    <t xml:space="preserve">Costo </t>
  </si>
  <si>
    <t>Vendi.tot.</t>
  </si>
  <si>
    <t>2° Carico</t>
  </si>
  <si>
    <t>1° Carico</t>
  </si>
  <si>
    <t>Tot.1+2</t>
  </si>
  <si>
    <t>sospesi</t>
  </si>
  <si>
    <t>riscossi</t>
  </si>
  <si>
    <t>Totale conteggio</t>
  </si>
  <si>
    <t xml:space="preserve">Acconto </t>
  </si>
  <si>
    <t>caci</t>
  </si>
  <si>
    <t>T.Tran</t>
  </si>
  <si>
    <t>Utili Tr</t>
  </si>
  <si>
    <t>T.Ut. Tr.</t>
  </si>
  <si>
    <t>Utili senza Transfert</t>
  </si>
  <si>
    <t>Differenza giornaliera utili</t>
  </si>
  <si>
    <t>Utili transfert</t>
  </si>
  <si>
    <t>Utili clienti</t>
  </si>
  <si>
    <t>carot</t>
  </si>
  <si>
    <t>u.sfu</t>
  </si>
  <si>
    <t>26/36</t>
  </si>
  <si>
    <t xml:space="preserve"> </t>
  </si>
  <si>
    <t>Conteggio del DATA zona 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</si>
</sst>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Arial"/>
    </font>
    <font>
      <b/>
      <sz val="10"/>
      <name val="Arial"/>
      <family val="2"/>
    </font>
    <font>
      <sz val="10"/>
      <color indexed="4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13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2" fillId="0" borderId="0" xfId="0" applyFont="1"/>
    <xf numFmtId="1" fontId="0" fillId="0" borderId="0" xfId="0" applyNumberFormat="1"/>
    <xf numFmtId="0" fontId="3" fillId="0" borderId="0" xfId="0" applyFont="1"/>
    <xf numFmtId="0" fontId="1" fillId="0" borderId="0" xfId="0" applyFont="1"/>
    <xf numFmtId="164" fontId="0" fillId="0" borderId="0" xfId="0" applyNumberFormat="1"/>
    <xf numFmtId="0" fontId="4" fillId="0" borderId="0" xfId="0" applyFont="1"/>
    <xf numFmtId="0" fontId="4" fillId="0" borderId="1" xfId="0" applyFont="1" applyBorder="1"/>
    <xf numFmtId="2" fontId="4" fillId="0" borderId="0" xfId="0" applyNumberFormat="1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8"/>
  <sheetViews>
    <sheetView tabSelected="1" zoomScale="90" zoomScaleNormal="90" workbookViewId="0">
      <selection activeCell="A2" sqref="A2"/>
    </sheetView>
  </sheetViews>
  <sheetFormatPr defaultRowHeight="12.75" x14ac:dyDescent="0.2"/>
  <cols>
    <col min="1" max="10" width="5.7109375" customWidth="1"/>
    <col min="11" max="11" width="5.140625" customWidth="1"/>
    <col min="12" max="15" width="5.7109375" customWidth="1"/>
    <col min="16" max="16" width="5.5703125" customWidth="1"/>
    <col min="17" max="24" width="5.7109375" customWidth="1"/>
    <col min="25" max="25" width="6.28515625" customWidth="1"/>
    <col min="26" max="33" width="5.7109375" customWidth="1"/>
    <col min="34" max="34" width="6.7109375" customWidth="1"/>
    <col min="35" max="43" width="5.7109375" customWidth="1"/>
  </cols>
  <sheetData>
    <row r="1" spans="1:34" s="7" customFormat="1" x14ac:dyDescent="0.2">
      <c r="A1" s="5" t="s">
        <v>33</v>
      </c>
      <c r="F1" s="8"/>
    </row>
    <row r="2" spans="1:34" s="7" customFormat="1" x14ac:dyDescent="0.2">
      <c r="B2" s="5">
        <v>127</v>
      </c>
      <c r="C2" s="5">
        <v>128</v>
      </c>
      <c r="D2" s="5">
        <v>122</v>
      </c>
      <c r="E2" s="5">
        <v>101</v>
      </c>
      <c r="F2" s="5">
        <v>125</v>
      </c>
      <c r="G2" s="5">
        <v>140</v>
      </c>
      <c r="H2" s="5">
        <v>144</v>
      </c>
      <c r="I2" s="5">
        <v>146</v>
      </c>
      <c r="J2" s="5">
        <v>147</v>
      </c>
      <c r="K2" s="5">
        <v>148</v>
      </c>
      <c r="L2" s="5" t="s">
        <v>31</v>
      </c>
      <c r="M2" s="5">
        <v>67</v>
      </c>
      <c r="N2" s="5">
        <v>32</v>
      </c>
      <c r="O2" s="5">
        <v>59</v>
      </c>
      <c r="P2" s="5">
        <v>25</v>
      </c>
      <c r="Q2" s="5" t="s">
        <v>30</v>
      </c>
      <c r="R2" s="5">
        <v>5</v>
      </c>
      <c r="S2" s="5">
        <v>112</v>
      </c>
      <c r="T2" s="5">
        <v>139</v>
      </c>
      <c r="U2" s="5">
        <v>70</v>
      </c>
      <c r="V2" s="5">
        <v>77</v>
      </c>
      <c r="W2" s="5">
        <v>450</v>
      </c>
      <c r="X2" s="5">
        <v>63</v>
      </c>
      <c r="Y2" s="5">
        <v>35</v>
      </c>
      <c r="Z2" s="5">
        <v>111</v>
      </c>
      <c r="AA2" s="5">
        <v>76</v>
      </c>
      <c r="AB2" s="5">
        <v>61</v>
      </c>
      <c r="AC2" s="5">
        <v>69</v>
      </c>
      <c r="AD2" s="5">
        <v>126</v>
      </c>
      <c r="AE2" s="5">
        <v>75</v>
      </c>
      <c r="AF2" s="5">
        <v>104</v>
      </c>
      <c r="AG2" s="5">
        <v>132</v>
      </c>
      <c r="AH2" s="5">
        <v>32522</v>
      </c>
    </row>
    <row r="3" spans="1:34" s="7" customFormat="1" x14ac:dyDescent="0.2">
      <c r="A3" s="7" t="s">
        <v>0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</row>
    <row r="4" spans="1:34" s="7" customFormat="1" x14ac:dyDescent="0.2">
      <c r="A4" s="7" t="s">
        <v>15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</row>
    <row r="5" spans="1:34" s="7" customFormat="1" x14ac:dyDescent="0.2">
      <c r="A5" s="7" t="s">
        <v>14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</row>
    <row r="6" spans="1:34" s="7" customFormat="1" x14ac:dyDescent="0.2">
      <c r="A6" s="7" t="s">
        <v>16</v>
      </c>
      <c r="B6" s="7">
        <f t="shared" ref="B6:Y6" si="0">SUM(B4:B5)</f>
        <v>0</v>
      </c>
      <c r="C6" s="7">
        <f t="shared" si="0"/>
        <v>0</v>
      </c>
      <c r="D6" s="7">
        <f t="shared" si="0"/>
        <v>0</v>
      </c>
      <c r="E6" s="7">
        <f t="shared" si="0"/>
        <v>0</v>
      </c>
      <c r="F6" s="7">
        <f t="shared" si="0"/>
        <v>0</v>
      </c>
      <c r="G6" s="7">
        <f t="shared" si="0"/>
        <v>0</v>
      </c>
      <c r="H6" s="7">
        <f t="shared" ref="H6" si="1">SUM(H4:H5)</f>
        <v>0</v>
      </c>
      <c r="I6" s="7">
        <f t="shared" si="0"/>
        <v>0</v>
      </c>
      <c r="J6" s="7">
        <f t="shared" si="0"/>
        <v>0</v>
      </c>
      <c r="K6" s="7">
        <f t="shared" si="0"/>
        <v>0</v>
      </c>
      <c r="L6" s="7">
        <f t="shared" si="0"/>
        <v>0</v>
      </c>
      <c r="M6" s="7">
        <f t="shared" si="0"/>
        <v>0</v>
      </c>
      <c r="N6" s="7">
        <f t="shared" si="0"/>
        <v>0</v>
      </c>
      <c r="O6" s="7">
        <f t="shared" si="0"/>
        <v>0</v>
      </c>
      <c r="P6" s="7">
        <f t="shared" si="0"/>
        <v>0</v>
      </c>
      <c r="Q6" s="7">
        <f t="shared" ref="Q6" si="2">SUM(Q4:Q5)</f>
        <v>0</v>
      </c>
      <c r="R6" s="7">
        <f t="shared" si="0"/>
        <v>0</v>
      </c>
      <c r="S6" s="7">
        <f t="shared" si="0"/>
        <v>0</v>
      </c>
      <c r="T6" s="7">
        <f t="shared" si="0"/>
        <v>0</v>
      </c>
      <c r="U6" s="7">
        <f t="shared" si="0"/>
        <v>0</v>
      </c>
      <c r="V6" s="7">
        <f t="shared" si="0"/>
        <v>0</v>
      </c>
      <c r="W6" s="7">
        <f t="shared" si="0"/>
        <v>0</v>
      </c>
      <c r="X6" s="7">
        <f t="shared" si="0"/>
        <v>0</v>
      </c>
      <c r="Y6" s="7">
        <f t="shared" si="0"/>
        <v>0</v>
      </c>
      <c r="Z6" s="7">
        <f t="shared" ref="Z6:AE6" si="3">SUM(Z4:Z5)</f>
        <v>0</v>
      </c>
      <c r="AA6" s="7">
        <f t="shared" si="3"/>
        <v>0</v>
      </c>
      <c r="AB6" s="7">
        <f t="shared" si="3"/>
        <v>0</v>
      </c>
      <c r="AC6" s="7">
        <f t="shared" si="3"/>
        <v>0</v>
      </c>
      <c r="AD6" s="7">
        <f t="shared" si="3"/>
        <v>0</v>
      </c>
      <c r="AE6" s="7">
        <f t="shared" si="3"/>
        <v>0</v>
      </c>
      <c r="AF6" s="7">
        <f>SUM(AF4:AF5)</f>
        <v>0</v>
      </c>
      <c r="AG6" s="7">
        <f>SUM(AG4:AG5)</f>
        <v>0</v>
      </c>
      <c r="AH6" s="7">
        <f>SUM(AH4:AH5)</f>
        <v>0</v>
      </c>
    </row>
    <row r="7" spans="1:34" s="7" customFormat="1" x14ac:dyDescent="0.2">
      <c r="A7" s="7" t="s">
        <v>1</v>
      </c>
      <c r="B7" s="7">
        <v>1.4767999999999999</v>
      </c>
      <c r="C7" s="7">
        <v>0.84</v>
      </c>
      <c r="D7" s="7">
        <v>0.84240000000000004</v>
      </c>
      <c r="E7" s="7">
        <v>0.84240000000000004</v>
      </c>
      <c r="F7" s="7">
        <v>1.4039999999999999</v>
      </c>
      <c r="G7" s="7">
        <v>1.1648000000000001</v>
      </c>
      <c r="H7" s="7">
        <v>0.58967999999999998</v>
      </c>
      <c r="I7" s="7">
        <v>1.643</v>
      </c>
      <c r="J7" s="9">
        <v>1.643</v>
      </c>
      <c r="K7" s="9">
        <v>1.6432</v>
      </c>
      <c r="L7" s="7">
        <v>1.32</v>
      </c>
      <c r="M7" s="7">
        <v>0.63800000000000001</v>
      </c>
      <c r="N7" s="7">
        <v>0.69</v>
      </c>
      <c r="O7" s="7">
        <v>1.98</v>
      </c>
      <c r="P7" s="7">
        <v>2.92</v>
      </c>
      <c r="Q7" s="7">
        <v>30.8</v>
      </c>
      <c r="R7" s="7">
        <v>1.1399999999999999</v>
      </c>
      <c r="S7" s="7">
        <v>2.27</v>
      </c>
      <c r="T7" s="7">
        <v>1.498</v>
      </c>
      <c r="U7" s="7">
        <v>0.77</v>
      </c>
      <c r="V7" s="7">
        <v>1.21</v>
      </c>
      <c r="W7" s="7">
        <v>1.44</v>
      </c>
      <c r="X7" s="7">
        <v>0.95599999999999996</v>
      </c>
      <c r="Y7" s="7">
        <v>4.9000000000000004</v>
      </c>
      <c r="Z7" s="7">
        <v>1.1399999999999999</v>
      </c>
      <c r="AA7" s="7">
        <v>0.95599999999999996</v>
      </c>
      <c r="AB7" s="7">
        <v>0.8528</v>
      </c>
      <c r="AC7" s="7">
        <v>4.2</v>
      </c>
      <c r="AD7" s="7">
        <v>0.81</v>
      </c>
      <c r="AE7" s="7">
        <v>0.374</v>
      </c>
      <c r="AF7" s="7">
        <v>1.4663999999999999</v>
      </c>
      <c r="AG7" s="7">
        <v>1.1439999999999999</v>
      </c>
      <c r="AH7" s="7">
        <v>1.4039999999999999</v>
      </c>
    </row>
    <row r="8" spans="1:34" s="7" customFormat="1" x14ac:dyDescent="0.2"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</row>
    <row r="9" spans="1:34" s="7" customFormat="1" x14ac:dyDescent="0.2"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</row>
    <row r="10" spans="1:34" s="7" customFormat="1" x14ac:dyDescent="0.2"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</row>
    <row r="11" spans="1:34" s="7" customFormat="1" x14ac:dyDescent="0.2"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</row>
    <row r="12" spans="1:34" s="7" customFormat="1" x14ac:dyDescent="0.2"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</row>
    <row r="13" spans="1:34" s="7" customFormat="1" x14ac:dyDescent="0.2"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</row>
    <row r="14" spans="1:34" s="7" customFormat="1" x14ac:dyDescent="0.2"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</row>
    <row r="15" spans="1:34" s="7" customFormat="1" x14ac:dyDescent="0.2"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</row>
    <row r="16" spans="1:34" s="7" customFormat="1" x14ac:dyDescent="0.2"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</row>
    <row r="17" spans="1:36" s="7" customFormat="1" x14ac:dyDescent="0.2">
      <c r="A17" s="7" t="s">
        <v>22</v>
      </c>
      <c r="B17" s="7">
        <f t="shared" ref="B17:AG17" si="4">SUM(B8:B16)</f>
        <v>0</v>
      </c>
      <c r="C17" s="7">
        <f t="shared" si="4"/>
        <v>0</v>
      </c>
      <c r="D17" s="7">
        <f t="shared" si="4"/>
        <v>0</v>
      </c>
      <c r="E17" s="7">
        <f t="shared" si="4"/>
        <v>0</v>
      </c>
      <c r="F17" s="7">
        <f t="shared" si="4"/>
        <v>0</v>
      </c>
      <c r="G17" s="7">
        <f t="shared" si="4"/>
        <v>0</v>
      </c>
      <c r="H17" s="7">
        <f t="shared" si="4"/>
        <v>0</v>
      </c>
      <c r="I17" s="7">
        <f t="shared" si="4"/>
        <v>0</v>
      </c>
      <c r="J17" s="7">
        <f t="shared" si="4"/>
        <v>0</v>
      </c>
      <c r="K17" s="7">
        <f t="shared" si="4"/>
        <v>0</v>
      </c>
      <c r="L17" s="7">
        <f t="shared" si="4"/>
        <v>0</v>
      </c>
      <c r="M17" s="7">
        <f t="shared" si="4"/>
        <v>0</v>
      </c>
      <c r="N17" s="7">
        <f t="shared" si="4"/>
        <v>0</v>
      </c>
      <c r="O17" s="7">
        <f t="shared" si="4"/>
        <v>0</v>
      </c>
      <c r="P17" s="7">
        <f t="shared" si="4"/>
        <v>0</v>
      </c>
      <c r="Q17" s="7">
        <f t="shared" ref="Q17" si="5">SUM(Q8:Q16)</f>
        <v>0</v>
      </c>
      <c r="R17" s="7">
        <f t="shared" si="4"/>
        <v>0</v>
      </c>
      <c r="S17" s="7">
        <f t="shared" si="4"/>
        <v>0</v>
      </c>
      <c r="T17" s="7">
        <f t="shared" si="4"/>
        <v>0</v>
      </c>
      <c r="U17" s="7">
        <f t="shared" si="4"/>
        <v>0</v>
      </c>
      <c r="V17" s="7">
        <f t="shared" si="4"/>
        <v>0</v>
      </c>
      <c r="W17" s="7">
        <f t="shared" si="4"/>
        <v>0</v>
      </c>
      <c r="X17" s="7">
        <f t="shared" si="4"/>
        <v>0</v>
      </c>
      <c r="Y17" s="7">
        <f t="shared" si="4"/>
        <v>0</v>
      </c>
      <c r="Z17" s="7">
        <f t="shared" si="4"/>
        <v>0</v>
      </c>
      <c r="AA17" s="7">
        <f t="shared" si="4"/>
        <v>0</v>
      </c>
      <c r="AB17" s="7">
        <f t="shared" si="4"/>
        <v>0</v>
      </c>
      <c r="AC17" s="7">
        <f t="shared" si="4"/>
        <v>0</v>
      </c>
      <c r="AD17" s="7">
        <f t="shared" si="4"/>
        <v>0</v>
      </c>
      <c r="AE17" s="7">
        <f t="shared" si="4"/>
        <v>0</v>
      </c>
      <c r="AF17" s="7">
        <f t="shared" si="4"/>
        <v>0</v>
      </c>
      <c r="AG17" s="7">
        <f t="shared" si="4"/>
        <v>0</v>
      </c>
      <c r="AH17" s="7">
        <f t="shared" ref="AH17" si="6">SUM(AH8:AH16)</f>
        <v>0</v>
      </c>
    </row>
    <row r="18" spans="1:36" s="7" customFormat="1" x14ac:dyDescent="0.2">
      <c r="A18" s="7" t="s">
        <v>23</v>
      </c>
      <c r="B18" s="7">
        <v>0.19520000000000001</v>
      </c>
      <c r="C18" s="7">
        <v>7.3200000000000001E-2</v>
      </c>
      <c r="D18" s="7">
        <v>7.3200000000000001E-2</v>
      </c>
      <c r="E18" s="7">
        <v>7.3200000000000001E-2</v>
      </c>
      <c r="F18" s="7">
        <v>0.11</v>
      </c>
      <c r="G18" s="7">
        <v>0.14000000000000001</v>
      </c>
      <c r="H18" s="7">
        <v>0.14000000000000001</v>
      </c>
      <c r="I18" s="7">
        <v>9.2999999999999999E-2</v>
      </c>
      <c r="J18" s="7">
        <v>7.4999999999999997E-2</v>
      </c>
      <c r="K18" s="7">
        <v>8.7999999999999995E-2</v>
      </c>
      <c r="L18" s="7">
        <v>0.1464</v>
      </c>
      <c r="M18" s="7">
        <v>0.06</v>
      </c>
      <c r="N18" s="7">
        <v>0.126833</v>
      </c>
      <c r="O18" s="7">
        <v>0.4</v>
      </c>
      <c r="P18" s="9">
        <v>0.183</v>
      </c>
      <c r="Q18" s="7">
        <v>0</v>
      </c>
      <c r="R18" s="7">
        <v>0.15</v>
      </c>
      <c r="S18" s="7">
        <v>0.26840000000000003</v>
      </c>
      <c r="T18" s="7">
        <v>0.16</v>
      </c>
      <c r="U18" s="7">
        <v>0.08</v>
      </c>
      <c r="V18" s="7">
        <v>0.08</v>
      </c>
      <c r="W18" s="7">
        <v>0.3</v>
      </c>
      <c r="X18" s="7">
        <v>0.08</v>
      </c>
      <c r="Y18" s="7">
        <v>0.3</v>
      </c>
      <c r="Z18" s="7">
        <v>0.1464</v>
      </c>
      <c r="AA18" s="7">
        <v>0.08</v>
      </c>
      <c r="AB18" s="7">
        <v>0.08</v>
      </c>
      <c r="AC18" s="7">
        <v>0.08</v>
      </c>
      <c r="AD18" s="7">
        <v>0.14000000000000001</v>
      </c>
      <c r="AE18" s="7">
        <v>0.05</v>
      </c>
      <c r="AF18" s="7">
        <v>0.23</v>
      </c>
      <c r="AG18" s="7">
        <v>0.17</v>
      </c>
      <c r="AH18" s="7">
        <v>0.316</v>
      </c>
    </row>
    <row r="19" spans="1:36" s="7" customFormat="1" x14ac:dyDescent="0.2">
      <c r="A19" s="7" t="s">
        <v>24</v>
      </c>
      <c r="B19" s="7">
        <f t="shared" ref="B19:AF19" si="7">B17*B18</f>
        <v>0</v>
      </c>
      <c r="C19" s="7">
        <f t="shared" si="7"/>
        <v>0</v>
      </c>
      <c r="D19" s="7">
        <f t="shared" si="7"/>
        <v>0</v>
      </c>
      <c r="E19" s="7">
        <f t="shared" si="7"/>
        <v>0</v>
      </c>
      <c r="F19" s="7">
        <f t="shared" si="7"/>
        <v>0</v>
      </c>
      <c r="G19" s="7">
        <f t="shared" si="7"/>
        <v>0</v>
      </c>
      <c r="H19" s="7">
        <f t="shared" ref="H19" si="8">H17*H18</f>
        <v>0</v>
      </c>
      <c r="I19" s="7">
        <f t="shared" si="7"/>
        <v>0</v>
      </c>
      <c r="J19" s="7">
        <f t="shared" si="7"/>
        <v>0</v>
      </c>
      <c r="K19" s="7">
        <f t="shared" si="7"/>
        <v>0</v>
      </c>
      <c r="L19" s="7">
        <f t="shared" si="7"/>
        <v>0</v>
      </c>
      <c r="M19" s="7">
        <f t="shared" si="7"/>
        <v>0</v>
      </c>
      <c r="N19" s="7">
        <f t="shared" si="7"/>
        <v>0</v>
      </c>
      <c r="O19" s="7">
        <f t="shared" si="7"/>
        <v>0</v>
      </c>
      <c r="P19" s="7">
        <f t="shared" si="7"/>
        <v>0</v>
      </c>
      <c r="Q19" s="7">
        <f t="shared" ref="Q19" si="9">Q17*Q18</f>
        <v>0</v>
      </c>
      <c r="R19" s="7">
        <f t="shared" si="7"/>
        <v>0</v>
      </c>
      <c r="S19" s="7">
        <f t="shared" si="7"/>
        <v>0</v>
      </c>
      <c r="T19" s="7">
        <f t="shared" si="7"/>
        <v>0</v>
      </c>
      <c r="U19" s="7">
        <f t="shared" si="7"/>
        <v>0</v>
      </c>
      <c r="V19" s="7">
        <f t="shared" si="7"/>
        <v>0</v>
      </c>
      <c r="W19" s="7">
        <f t="shared" si="7"/>
        <v>0</v>
      </c>
      <c r="X19" s="7">
        <f t="shared" si="7"/>
        <v>0</v>
      </c>
      <c r="Y19" s="7">
        <f t="shared" si="7"/>
        <v>0</v>
      </c>
      <c r="Z19" s="7">
        <f t="shared" si="7"/>
        <v>0</v>
      </c>
      <c r="AA19" s="7">
        <f t="shared" si="7"/>
        <v>0</v>
      </c>
      <c r="AB19" s="7">
        <f t="shared" si="7"/>
        <v>0</v>
      </c>
      <c r="AC19" s="7">
        <f t="shared" si="7"/>
        <v>0</v>
      </c>
      <c r="AD19" s="7">
        <f t="shared" si="7"/>
        <v>0</v>
      </c>
      <c r="AE19" s="7">
        <f t="shared" si="7"/>
        <v>0</v>
      </c>
      <c r="AF19" s="7">
        <f t="shared" si="7"/>
        <v>0</v>
      </c>
      <c r="AG19" s="7">
        <f t="shared" ref="AG19:AH19" si="10">AG17*AG18</f>
        <v>0</v>
      </c>
      <c r="AH19" s="7">
        <f t="shared" si="10"/>
        <v>0</v>
      </c>
    </row>
    <row r="20" spans="1:36" s="7" customFormat="1" x14ac:dyDescent="0.2">
      <c r="A20" s="7" t="s">
        <v>10</v>
      </c>
      <c r="B20" s="7">
        <f>SUM(B6-B8-B9-B10-B11-B12-B13-B14-B15-B16)</f>
        <v>0</v>
      </c>
      <c r="C20" s="7">
        <f t="shared" ref="C20:AG20" si="11">SUM(C6-C8-C9-C10-C11-C12-C13-C14-C15-C16)</f>
        <v>0</v>
      </c>
      <c r="D20" s="7">
        <f t="shared" si="11"/>
        <v>0</v>
      </c>
      <c r="E20" s="7">
        <f t="shared" si="11"/>
        <v>0</v>
      </c>
      <c r="F20" s="7">
        <f t="shared" si="11"/>
        <v>0</v>
      </c>
      <c r="G20" s="7">
        <f t="shared" si="11"/>
        <v>0</v>
      </c>
      <c r="H20" s="7">
        <f t="shared" si="11"/>
        <v>0</v>
      </c>
      <c r="I20" s="7">
        <f t="shared" si="11"/>
        <v>0</v>
      </c>
      <c r="J20" s="7">
        <f t="shared" si="11"/>
        <v>0</v>
      </c>
      <c r="K20" s="7">
        <f t="shared" si="11"/>
        <v>0</v>
      </c>
      <c r="L20" s="7">
        <f t="shared" si="11"/>
        <v>0</v>
      </c>
      <c r="M20" s="7">
        <f t="shared" si="11"/>
        <v>0</v>
      </c>
      <c r="N20" s="7">
        <f t="shared" si="11"/>
        <v>0</v>
      </c>
      <c r="O20" s="7">
        <f t="shared" si="11"/>
        <v>0</v>
      </c>
      <c r="P20" s="7">
        <f t="shared" si="11"/>
        <v>0</v>
      </c>
      <c r="Q20" s="7">
        <f t="shared" ref="Q20" si="12">SUM(Q6-Q8-Q9-Q10-Q11-Q12-Q13-Q14-Q15-Q16)</f>
        <v>0</v>
      </c>
      <c r="R20" s="7">
        <f t="shared" si="11"/>
        <v>0</v>
      </c>
      <c r="S20" s="7">
        <f t="shared" si="11"/>
        <v>0</v>
      </c>
      <c r="T20" s="7">
        <f t="shared" si="11"/>
        <v>0</v>
      </c>
      <c r="U20" s="7">
        <f t="shared" si="11"/>
        <v>0</v>
      </c>
      <c r="V20" s="7">
        <f t="shared" si="11"/>
        <v>0</v>
      </c>
      <c r="W20" s="7">
        <f t="shared" si="11"/>
        <v>0</v>
      </c>
      <c r="X20" s="7">
        <f t="shared" si="11"/>
        <v>0</v>
      </c>
      <c r="Y20" s="7">
        <f t="shared" si="11"/>
        <v>0</v>
      </c>
      <c r="Z20" s="7">
        <f t="shared" si="11"/>
        <v>0</v>
      </c>
      <c r="AA20" s="7">
        <f t="shared" si="11"/>
        <v>0</v>
      </c>
      <c r="AB20" s="7">
        <f t="shared" si="11"/>
        <v>0</v>
      </c>
      <c r="AC20" s="7">
        <f t="shared" si="11"/>
        <v>0</v>
      </c>
      <c r="AD20" s="7">
        <f t="shared" si="11"/>
        <v>0</v>
      </c>
      <c r="AE20" s="7">
        <f t="shared" si="11"/>
        <v>0</v>
      </c>
      <c r="AF20" s="7">
        <f t="shared" si="11"/>
        <v>0</v>
      </c>
      <c r="AG20" s="7">
        <f t="shared" si="11"/>
        <v>0</v>
      </c>
      <c r="AH20" s="7">
        <f t="shared" ref="AH20" si="13">SUM(AH6-AH8-AH9-AH10-AH11-AH12-AH13-AH14-AH15-AH16)</f>
        <v>0</v>
      </c>
    </row>
    <row r="21" spans="1:36" s="7" customFormat="1" x14ac:dyDescent="0.2">
      <c r="A21" s="7" t="s">
        <v>2</v>
      </c>
      <c r="B21" s="7">
        <f t="shared" ref="B21:K21" si="14">B7*B20</f>
        <v>0</v>
      </c>
      <c r="C21" s="7">
        <f t="shared" si="14"/>
        <v>0</v>
      </c>
      <c r="D21" s="7">
        <f t="shared" si="14"/>
        <v>0</v>
      </c>
      <c r="E21" s="7">
        <f t="shared" si="14"/>
        <v>0</v>
      </c>
      <c r="F21" s="7">
        <f t="shared" si="14"/>
        <v>0</v>
      </c>
      <c r="G21" s="7">
        <f t="shared" si="14"/>
        <v>0</v>
      </c>
      <c r="H21" s="7">
        <f t="shared" si="14"/>
        <v>0</v>
      </c>
      <c r="I21" s="7">
        <f t="shared" si="14"/>
        <v>0</v>
      </c>
      <c r="J21" s="7">
        <f t="shared" si="14"/>
        <v>0</v>
      </c>
      <c r="K21" s="7">
        <f t="shared" si="14"/>
        <v>0</v>
      </c>
      <c r="L21" s="7">
        <f t="shared" ref="L21:AH21" si="15">L7*L20</f>
        <v>0</v>
      </c>
      <c r="M21" s="7">
        <f t="shared" si="15"/>
        <v>0</v>
      </c>
      <c r="N21" s="7">
        <f t="shared" si="15"/>
        <v>0</v>
      </c>
      <c r="O21" s="7">
        <f t="shared" si="15"/>
        <v>0</v>
      </c>
      <c r="P21" s="7">
        <f t="shared" si="15"/>
        <v>0</v>
      </c>
      <c r="Q21" s="7">
        <f t="shared" si="15"/>
        <v>0</v>
      </c>
      <c r="R21" s="7">
        <f t="shared" si="15"/>
        <v>0</v>
      </c>
      <c r="S21" s="7">
        <f t="shared" si="15"/>
        <v>0</v>
      </c>
      <c r="T21" s="7">
        <f t="shared" si="15"/>
        <v>0</v>
      </c>
      <c r="U21" s="7">
        <f t="shared" si="15"/>
        <v>0</v>
      </c>
      <c r="V21" s="7">
        <f t="shared" si="15"/>
        <v>0</v>
      </c>
      <c r="W21" s="7">
        <f t="shared" si="15"/>
        <v>0</v>
      </c>
      <c r="X21" s="7">
        <f t="shared" si="15"/>
        <v>0</v>
      </c>
      <c r="Y21" s="7">
        <f t="shared" si="15"/>
        <v>0</v>
      </c>
      <c r="Z21" s="7">
        <f t="shared" si="15"/>
        <v>0</v>
      </c>
      <c r="AA21" s="7">
        <f t="shared" si="15"/>
        <v>0</v>
      </c>
      <c r="AB21" s="7">
        <f t="shared" si="15"/>
        <v>0</v>
      </c>
      <c r="AC21" s="7">
        <f t="shared" si="15"/>
        <v>0</v>
      </c>
      <c r="AD21" s="7">
        <f t="shared" si="15"/>
        <v>0</v>
      </c>
      <c r="AE21" s="7">
        <f t="shared" si="15"/>
        <v>0</v>
      </c>
      <c r="AF21" s="7">
        <f t="shared" si="15"/>
        <v>0</v>
      </c>
      <c r="AG21" s="7">
        <f t="shared" si="15"/>
        <v>0</v>
      </c>
      <c r="AH21" s="7">
        <f t="shared" si="15"/>
        <v>0</v>
      </c>
    </row>
    <row r="22" spans="1:36" s="7" customFormat="1" x14ac:dyDescent="0.2">
      <c r="A22" s="7" t="s">
        <v>13</v>
      </c>
      <c r="B22" s="7">
        <f>B20*B23</f>
        <v>0</v>
      </c>
      <c r="C22" s="7">
        <f t="shared" ref="C22:AF22" si="16">C20*C23</f>
        <v>0</v>
      </c>
      <c r="D22" s="7">
        <f t="shared" si="16"/>
        <v>0</v>
      </c>
      <c r="E22" s="7">
        <f t="shared" si="16"/>
        <v>0</v>
      </c>
      <c r="F22" s="7">
        <f t="shared" si="16"/>
        <v>0</v>
      </c>
      <c r="G22" s="7">
        <f t="shared" si="16"/>
        <v>0</v>
      </c>
      <c r="H22" s="7">
        <f t="shared" ref="H22" si="17">H20*H23</f>
        <v>0</v>
      </c>
      <c r="I22" s="7">
        <f t="shared" si="16"/>
        <v>0</v>
      </c>
      <c r="J22" s="7">
        <f t="shared" si="16"/>
        <v>0</v>
      </c>
      <c r="K22" s="7">
        <f t="shared" si="16"/>
        <v>0</v>
      </c>
      <c r="L22" s="7">
        <f t="shared" si="16"/>
        <v>0</v>
      </c>
      <c r="M22" s="7">
        <f t="shared" si="16"/>
        <v>0</v>
      </c>
      <c r="N22" s="7">
        <f t="shared" si="16"/>
        <v>0</v>
      </c>
      <c r="O22" s="7">
        <f t="shared" si="16"/>
        <v>0</v>
      </c>
      <c r="P22" s="7">
        <f t="shared" si="16"/>
        <v>0</v>
      </c>
      <c r="Q22" s="7">
        <f t="shared" ref="Q22" si="18">Q20*Q23</f>
        <v>0</v>
      </c>
      <c r="R22" s="7">
        <f t="shared" si="16"/>
        <v>0</v>
      </c>
      <c r="S22" s="7">
        <f t="shared" si="16"/>
        <v>0</v>
      </c>
      <c r="T22" s="7">
        <f t="shared" si="16"/>
        <v>0</v>
      </c>
      <c r="U22" s="7">
        <f t="shared" si="16"/>
        <v>0</v>
      </c>
      <c r="V22" s="7">
        <f t="shared" si="16"/>
        <v>0</v>
      </c>
      <c r="W22" s="7">
        <f t="shared" si="16"/>
        <v>0</v>
      </c>
      <c r="X22" s="7">
        <f t="shared" si="16"/>
        <v>0</v>
      </c>
      <c r="Y22" s="7">
        <f t="shared" si="16"/>
        <v>0</v>
      </c>
      <c r="Z22" s="7">
        <f t="shared" si="16"/>
        <v>0</v>
      </c>
      <c r="AA22" s="7">
        <f t="shared" si="16"/>
        <v>0</v>
      </c>
      <c r="AB22" s="7">
        <f t="shared" si="16"/>
        <v>0</v>
      </c>
      <c r="AC22" s="7">
        <f t="shared" si="16"/>
        <v>0</v>
      </c>
      <c r="AD22" s="7">
        <f t="shared" si="16"/>
        <v>0</v>
      </c>
      <c r="AE22" s="7">
        <f t="shared" si="16"/>
        <v>0</v>
      </c>
      <c r="AF22" s="7">
        <f t="shared" si="16"/>
        <v>0</v>
      </c>
      <c r="AG22" s="7">
        <f t="shared" ref="AG22:AH22" si="19">AG20*AG23</f>
        <v>0</v>
      </c>
      <c r="AH22" s="7">
        <f t="shared" si="19"/>
        <v>0</v>
      </c>
    </row>
    <row r="23" spans="1:36" s="7" customFormat="1" x14ac:dyDescent="0.2">
      <c r="A23" s="7" t="s">
        <v>3</v>
      </c>
      <c r="B23" s="7">
        <v>1.8</v>
      </c>
      <c r="C23" s="9">
        <v>1</v>
      </c>
      <c r="D23" s="9">
        <v>1</v>
      </c>
      <c r="E23" s="9">
        <v>1</v>
      </c>
      <c r="F23" s="7">
        <v>1.75</v>
      </c>
      <c r="G23" s="9">
        <v>1.2</v>
      </c>
      <c r="H23" s="9">
        <v>1</v>
      </c>
      <c r="I23" s="9">
        <v>2</v>
      </c>
      <c r="J23" s="9">
        <v>2</v>
      </c>
      <c r="K23" s="9">
        <v>2</v>
      </c>
      <c r="L23" s="7">
        <v>1.7</v>
      </c>
      <c r="M23" s="9">
        <v>1</v>
      </c>
      <c r="N23" s="9">
        <v>0.95</v>
      </c>
      <c r="O23" s="9">
        <v>2.6</v>
      </c>
      <c r="P23" s="9">
        <v>3.5</v>
      </c>
      <c r="Q23" s="7">
        <v>35.200000000000003</v>
      </c>
      <c r="R23" s="7">
        <v>1.8</v>
      </c>
      <c r="S23" s="7">
        <v>2.6</v>
      </c>
      <c r="T23" s="7">
        <v>1.85</v>
      </c>
      <c r="U23" s="7">
        <v>0.9</v>
      </c>
      <c r="V23" s="9">
        <v>1.4</v>
      </c>
      <c r="W23" s="7">
        <v>1.5</v>
      </c>
      <c r="X23" s="9">
        <v>1.2</v>
      </c>
      <c r="Y23" s="7">
        <v>6.2</v>
      </c>
      <c r="Z23" s="9">
        <v>1.3</v>
      </c>
      <c r="AA23" s="9">
        <v>1.2</v>
      </c>
      <c r="AB23" s="9">
        <v>1.2</v>
      </c>
      <c r="AC23" s="9">
        <v>5.5</v>
      </c>
      <c r="AD23" s="9">
        <v>1</v>
      </c>
      <c r="AE23" s="9">
        <v>0.9</v>
      </c>
      <c r="AF23" s="9">
        <v>1.8</v>
      </c>
      <c r="AG23" s="9">
        <v>1.55</v>
      </c>
      <c r="AH23" s="9">
        <v>1.716</v>
      </c>
    </row>
    <row r="24" spans="1:36" s="7" customFormat="1" x14ac:dyDescent="0.2">
      <c r="A24" s="7" t="s">
        <v>4</v>
      </c>
      <c r="B24" s="7">
        <f>B22-B21+B19</f>
        <v>0</v>
      </c>
      <c r="C24" s="7">
        <f t="shared" ref="C24:AF24" si="20">C22-C21+C19</f>
        <v>0</v>
      </c>
      <c r="D24" s="7">
        <f t="shared" si="20"/>
        <v>0</v>
      </c>
      <c r="E24" s="7">
        <f t="shared" si="20"/>
        <v>0</v>
      </c>
      <c r="F24" s="7">
        <f t="shared" si="20"/>
        <v>0</v>
      </c>
      <c r="G24" s="7">
        <f t="shared" si="20"/>
        <v>0</v>
      </c>
      <c r="H24" s="7">
        <f t="shared" ref="H24" si="21">H22-H21+H19</f>
        <v>0</v>
      </c>
      <c r="I24" s="7">
        <f t="shared" si="20"/>
        <v>0</v>
      </c>
      <c r="J24" s="7">
        <f t="shared" si="20"/>
        <v>0</v>
      </c>
      <c r="K24" s="7">
        <f t="shared" si="20"/>
        <v>0</v>
      </c>
      <c r="L24" s="7">
        <f t="shared" si="20"/>
        <v>0</v>
      </c>
      <c r="M24" s="7">
        <f t="shared" si="20"/>
        <v>0</v>
      </c>
      <c r="N24" s="7">
        <f t="shared" si="20"/>
        <v>0</v>
      </c>
      <c r="O24" s="7">
        <f t="shared" si="20"/>
        <v>0</v>
      </c>
      <c r="P24" s="7">
        <f t="shared" si="20"/>
        <v>0</v>
      </c>
      <c r="Q24" s="7">
        <f t="shared" ref="Q24" si="22">Q22-Q21+Q19</f>
        <v>0</v>
      </c>
      <c r="R24" s="7">
        <f t="shared" si="20"/>
        <v>0</v>
      </c>
      <c r="S24" s="7">
        <f t="shared" si="20"/>
        <v>0</v>
      </c>
      <c r="T24" s="7">
        <f t="shared" si="20"/>
        <v>0</v>
      </c>
      <c r="U24" s="7">
        <f t="shared" si="20"/>
        <v>0</v>
      </c>
      <c r="V24" s="7">
        <f t="shared" si="20"/>
        <v>0</v>
      </c>
      <c r="W24" s="7">
        <f t="shared" si="20"/>
        <v>0</v>
      </c>
      <c r="X24" s="7">
        <f t="shared" si="20"/>
        <v>0</v>
      </c>
      <c r="Y24" s="7">
        <f t="shared" si="20"/>
        <v>0</v>
      </c>
      <c r="Z24" s="7">
        <f t="shared" si="20"/>
        <v>0</v>
      </c>
      <c r="AA24" s="7">
        <f t="shared" si="20"/>
        <v>0</v>
      </c>
      <c r="AB24" s="7">
        <f t="shared" si="20"/>
        <v>0</v>
      </c>
      <c r="AC24" s="7">
        <f t="shared" si="20"/>
        <v>0</v>
      </c>
      <c r="AD24" s="7">
        <f t="shared" si="20"/>
        <v>0</v>
      </c>
      <c r="AE24" s="7">
        <f t="shared" si="20"/>
        <v>0</v>
      </c>
      <c r="AF24" s="7">
        <f t="shared" si="20"/>
        <v>0</v>
      </c>
      <c r="AG24" s="7">
        <f t="shared" ref="AG24:AH24" si="23">AG22-AG21+AG19</f>
        <v>0</v>
      </c>
      <c r="AH24" s="7">
        <f t="shared" si="23"/>
        <v>0</v>
      </c>
    </row>
    <row r="25" spans="1:36" s="7" customFormat="1" x14ac:dyDescent="0.2">
      <c r="A25" s="7" t="s">
        <v>9</v>
      </c>
      <c r="B25" s="7">
        <f t="shared" ref="B25:AG25" si="24">B3+B20</f>
        <v>0</v>
      </c>
      <c r="C25" s="7">
        <f t="shared" si="24"/>
        <v>0</v>
      </c>
      <c r="D25" s="7">
        <f t="shared" si="24"/>
        <v>0</v>
      </c>
      <c r="E25" s="7">
        <f t="shared" si="24"/>
        <v>0</v>
      </c>
      <c r="F25" s="7">
        <f t="shared" si="24"/>
        <v>0</v>
      </c>
      <c r="G25" s="7">
        <f t="shared" si="24"/>
        <v>0</v>
      </c>
      <c r="H25" s="7">
        <f t="shared" si="24"/>
        <v>0</v>
      </c>
      <c r="I25" s="7">
        <f t="shared" si="24"/>
        <v>0</v>
      </c>
      <c r="J25" s="7">
        <f t="shared" si="24"/>
        <v>0</v>
      </c>
      <c r="K25" s="7">
        <f t="shared" si="24"/>
        <v>0</v>
      </c>
      <c r="L25" s="7">
        <f t="shared" si="24"/>
        <v>0</v>
      </c>
      <c r="M25" s="7">
        <f t="shared" si="24"/>
        <v>0</v>
      </c>
      <c r="N25" s="7">
        <f t="shared" si="24"/>
        <v>0</v>
      </c>
      <c r="O25" s="7">
        <f t="shared" si="24"/>
        <v>0</v>
      </c>
      <c r="P25" s="7">
        <f t="shared" si="24"/>
        <v>0</v>
      </c>
      <c r="Q25" s="7">
        <f t="shared" ref="Q25" si="25">Q3+Q20</f>
        <v>0</v>
      </c>
      <c r="R25" s="7">
        <f t="shared" si="24"/>
        <v>0</v>
      </c>
      <c r="S25" s="7">
        <f t="shared" si="24"/>
        <v>0</v>
      </c>
      <c r="T25" s="7">
        <f t="shared" si="24"/>
        <v>0</v>
      </c>
      <c r="U25" s="7">
        <f t="shared" si="24"/>
        <v>0</v>
      </c>
      <c r="V25" s="7">
        <f t="shared" si="24"/>
        <v>0</v>
      </c>
      <c r="W25" s="7">
        <f t="shared" si="24"/>
        <v>0</v>
      </c>
      <c r="X25" s="7">
        <f t="shared" si="24"/>
        <v>0</v>
      </c>
      <c r="Y25" s="7">
        <f t="shared" si="24"/>
        <v>0</v>
      </c>
      <c r="Z25" s="7">
        <f t="shared" si="24"/>
        <v>0</v>
      </c>
      <c r="AA25" s="7">
        <f t="shared" si="24"/>
        <v>0</v>
      </c>
      <c r="AB25" s="7">
        <f t="shared" si="24"/>
        <v>0</v>
      </c>
      <c r="AC25" s="7">
        <f t="shared" si="24"/>
        <v>0</v>
      </c>
      <c r="AD25" s="7">
        <f t="shared" si="24"/>
        <v>0</v>
      </c>
      <c r="AE25" s="7">
        <f t="shared" si="24"/>
        <v>0</v>
      </c>
      <c r="AF25" s="7">
        <f t="shared" si="24"/>
        <v>0</v>
      </c>
      <c r="AG25" s="7">
        <f t="shared" si="24"/>
        <v>0</v>
      </c>
      <c r="AH25" s="7">
        <f t="shared" ref="AH25" si="26">AH3+AH20</f>
        <v>0</v>
      </c>
    </row>
    <row r="26" spans="1:36" s="7" customFormat="1" x14ac:dyDescent="0.2">
      <c r="A26" s="5" t="s">
        <v>0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/>
      <c r="AJ26" s="5"/>
    </row>
    <row r="27" spans="1:36" s="7" customFormat="1" x14ac:dyDescent="0.2"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</row>
    <row r="28" spans="1:36" s="7" customFormat="1" x14ac:dyDescent="0.2"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</row>
    <row r="29" spans="1:36" s="7" customFormat="1" x14ac:dyDescent="0.2"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</row>
    <row r="30" spans="1:36" s="7" customFormat="1" x14ac:dyDescent="0.2"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</row>
    <row r="31" spans="1:36" s="7" customFormat="1" x14ac:dyDescent="0.2"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</row>
    <row r="32" spans="1:36" x14ac:dyDescent="0.2">
      <c r="A32" s="7"/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s="7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2">
      <c r="A33" s="7"/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2">
      <c r="A34" s="7"/>
      <c r="B34">
        <v>0</v>
      </c>
      <c r="C34" s="7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x14ac:dyDescent="0.2">
      <c r="A35" s="7"/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2">
      <c r="A36" s="7"/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x14ac:dyDescent="0.2">
      <c r="A37" t="s">
        <v>11</v>
      </c>
      <c r="B37">
        <f>SUM(B26:B36)</f>
        <v>0</v>
      </c>
      <c r="C37">
        <f>SUM(C26:C36)</f>
        <v>0</v>
      </c>
      <c r="D37">
        <f>SUM(D26:D36)</f>
        <v>0</v>
      </c>
      <c r="E37">
        <f>SUM(E26:E36)</f>
        <v>0</v>
      </c>
      <c r="F37">
        <f>SUM(F26:F36)</f>
        <v>0</v>
      </c>
      <c r="G37">
        <f t="shared" ref="G37:AF37" si="27">SUM(G26:G36)</f>
        <v>0</v>
      </c>
      <c r="H37">
        <f t="shared" si="27"/>
        <v>0</v>
      </c>
      <c r="I37">
        <f t="shared" si="27"/>
        <v>0</v>
      </c>
      <c r="J37">
        <f t="shared" si="27"/>
        <v>0</v>
      </c>
      <c r="K37">
        <f t="shared" si="27"/>
        <v>0</v>
      </c>
      <c r="L37">
        <f t="shared" si="27"/>
        <v>0</v>
      </c>
      <c r="M37">
        <f t="shared" si="27"/>
        <v>0</v>
      </c>
      <c r="N37">
        <f t="shared" si="27"/>
        <v>0</v>
      </c>
      <c r="O37">
        <f t="shared" si="27"/>
        <v>0</v>
      </c>
      <c r="P37">
        <f t="shared" si="27"/>
        <v>0</v>
      </c>
      <c r="Q37">
        <f t="shared" ref="Q37" si="28">SUM(Q26:Q36)</f>
        <v>0</v>
      </c>
      <c r="R37">
        <f t="shared" si="27"/>
        <v>0</v>
      </c>
      <c r="S37">
        <f t="shared" si="27"/>
        <v>0</v>
      </c>
      <c r="T37">
        <f t="shared" si="27"/>
        <v>0</v>
      </c>
      <c r="U37">
        <f t="shared" si="27"/>
        <v>0</v>
      </c>
      <c r="V37">
        <f t="shared" si="27"/>
        <v>0</v>
      </c>
      <c r="W37">
        <f t="shared" si="27"/>
        <v>0</v>
      </c>
      <c r="X37">
        <f t="shared" si="27"/>
        <v>0</v>
      </c>
      <c r="Y37">
        <f t="shared" si="27"/>
        <v>0</v>
      </c>
      <c r="Z37">
        <f t="shared" si="27"/>
        <v>0</v>
      </c>
      <c r="AA37">
        <f t="shared" si="27"/>
        <v>0</v>
      </c>
      <c r="AB37">
        <f t="shared" si="27"/>
        <v>0</v>
      </c>
      <c r="AC37">
        <f t="shared" si="27"/>
        <v>0</v>
      </c>
      <c r="AD37">
        <f t="shared" si="27"/>
        <v>0</v>
      </c>
      <c r="AE37">
        <f t="shared" si="27"/>
        <v>0</v>
      </c>
      <c r="AF37">
        <f t="shared" si="27"/>
        <v>0</v>
      </c>
      <c r="AG37">
        <f t="shared" ref="AG37:AH37" si="29">SUM(AG26:AG36)</f>
        <v>0</v>
      </c>
      <c r="AH37">
        <f t="shared" si="29"/>
        <v>0</v>
      </c>
    </row>
    <row r="38" spans="1:34" x14ac:dyDescent="0.2">
      <c r="A38" t="s">
        <v>5</v>
      </c>
      <c r="B38">
        <f>B25-B37</f>
        <v>0</v>
      </c>
      <c r="C38">
        <f t="shared" ref="C38:AF38" si="30">C25-C37</f>
        <v>0</v>
      </c>
      <c r="D38">
        <f t="shared" si="30"/>
        <v>0</v>
      </c>
      <c r="E38">
        <f t="shared" si="30"/>
        <v>0</v>
      </c>
      <c r="F38">
        <f t="shared" si="30"/>
        <v>0</v>
      </c>
      <c r="G38">
        <f t="shared" si="30"/>
        <v>0</v>
      </c>
      <c r="H38">
        <f t="shared" si="30"/>
        <v>0</v>
      </c>
      <c r="I38">
        <f t="shared" si="30"/>
        <v>0</v>
      </c>
      <c r="J38">
        <f t="shared" si="30"/>
        <v>0</v>
      </c>
      <c r="K38">
        <f t="shared" si="30"/>
        <v>0</v>
      </c>
      <c r="L38">
        <f t="shared" si="30"/>
        <v>0</v>
      </c>
      <c r="M38">
        <f t="shared" si="30"/>
        <v>0</v>
      </c>
      <c r="N38">
        <f t="shared" si="30"/>
        <v>0</v>
      </c>
      <c r="O38">
        <f t="shared" si="30"/>
        <v>0</v>
      </c>
      <c r="P38">
        <f t="shared" si="30"/>
        <v>0</v>
      </c>
      <c r="Q38">
        <f t="shared" ref="Q38" si="31">Q25-Q37</f>
        <v>0</v>
      </c>
      <c r="R38">
        <f t="shared" si="30"/>
        <v>0</v>
      </c>
      <c r="S38">
        <f t="shared" si="30"/>
        <v>0</v>
      </c>
      <c r="T38">
        <f t="shared" si="30"/>
        <v>0</v>
      </c>
      <c r="U38">
        <f t="shared" si="30"/>
        <v>0</v>
      </c>
      <c r="V38">
        <f t="shared" si="30"/>
        <v>0</v>
      </c>
      <c r="W38">
        <f t="shared" si="30"/>
        <v>0</v>
      </c>
      <c r="X38">
        <f t="shared" si="30"/>
        <v>0</v>
      </c>
      <c r="Y38">
        <f t="shared" si="30"/>
        <v>0</v>
      </c>
      <c r="Z38">
        <f t="shared" si="30"/>
        <v>0</v>
      </c>
      <c r="AA38">
        <f t="shared" si="30"/>
        <v>0</v>
      </c>
      <c r="AB38">
        <f t="shared" si="30"/>
        <v>0</v>
      </c>
      <c r="AC38">
        <f t="shared" si="30"/>
        <v>0</v>
      </c>
      <c r="AD38">
        <f t="shared" si="30"/>
        <v>0</v>
      </c>
      <c r="AE38">
        <f t="shared" si="30"/>
        <v>0</v>
      </c>
      <c r="AF38">
        <f t="shared" si="30"/>
        <v>0</v>
      </c>
      <c r="AG38">
        <f t="shared" ref="AG38:AH38" si="32">AG25-AG37</f>
        <v>0</v>
      </c>
      <c r="AH38">
        <f t="shared" si="32"/>
        <v>0</v>
      </c>
    </row>
    <row r="39" spans="1:34" x14ac:dyDescent="0.2">
      <c r="B39" t="s">
        <v>28</v>
      </c>
      <c r="D39">
        <f>SUM(B24:AH24)</f>
        <v>0</v>
      </c>
      <c r="H39" t="s">
        <v>12</v>
      </c>
      <c r="I39">
        <f>SUM(B21:AH21)</f>
        <v>0</v>
      </c>
      <c r="K39" t="s">
        <v>3</v>
      </c>
      <c r="L39" s="4">
        <f>SUM(B22:AH22)</f>
        <v>0</v>
      </c>
      <c r="N39" s="2" t="s">
        <v>25</v>
      </c>
      <c r="Q39">
        <f>L39-I39</f>
        <v>0</v>
      </c>
      <c r="S39" t="s">
        <v>26</v>
      </c>
      <c r="W39">
        <f>Q39-D39</f>
        <v>0</v>
      </c>
      <c r="Y39" t="s">
        <v>27</v>
      </c>
      <c r="AA39">
        <f>SUM(B19:AH19)</f>
        <v>0</v>
      </c>
      <c r="AC39" t="s">
        <v>4</v>
      </c>
      <c r="AD39">
        <f>D39+AA39</f>
        <v>0</v>
      </c>
    </row>
    <row r="40" spans="1:34" x14ac:dyDescent="0.2">
      <c r="A40">
        <v>127</v>
      </c>
      <c r="B40">
        <f>B38</f>
        <v>0</v>
      </c>
      <c r="C40" s="1">
        <v>1.8</v>
      </c>
      <c r="D40">
        <f>B40*C40</f>
        <v>0</v>
      </c>
      <c r="E40">
        <v>140</v>
      </c>
      <c r="F40">
        <f>G38</f>
        <v>0</v>
      </c>
      <c r="G40" s="1">
        <v>1.25</v>
      </c>
      <c r="H40">
        <f>F40*G40</f>
        <v>0</v>
      </c>
      <c r="I40">
        <v>67</v>
      </c>
      <c r="J40">
        <f>M38</f>
        <v>0</v>
      </c>
      <c r="K40" s="6">
        <v>1</v>
      </c>
      <c r="L40">
        <f>J40*K40</f>
        <v>0</v>
      </c>
      <c r="M40">
        <v>5</v>
      </c>
      <c r="N40">
        <f>R38</f>
        <v>0</v>
      </c>
      <c r="O40">
        <v>1.8</v>
      </c>
      <c r="P40">
        <f>N40*O40</f>
        <v>0</v>
      </c>
      <c r="Q40">
        <v>77</v>
      </c>
      <c r="R40">
        <f>V38</f>
        <v>0</v>
      </c>
      <c r="S40" s="1">
        <v>1.4</v>
      </c>
      <c r="T40">
        <f>R40*S40</f>
        <v>0</v>
      </c>
      <c r="U40">
        <v>111</v>
      </c>
      <c r="V40">
        <f>Z38</f>
        <v>0</v>
      </c>
      <c r="W40">
        <v>1.3</v>
      </c>
      <c r="X40">
        <f>V40*W40</f>
        <v>0</v>
      </c>
      <c r="Y40">
        <v>144</v>
      </c>
      <c r="Z40">
        <f>H38</f>
        <v>0</v>
      </c>
      <c r="AA40">
        <v>1</v>
      </c>
      <c r="AB40">
        <f>Z40*AA40</f>
        <v>0</v>
      </c>
    </row>
    <row r="41" spans="1:34" x14ac:dyDescent="0.2">
      <c r="A41">
        <v>128</v>
      </c>
      <c r="B41">
        <f>C38</f>
        <v>0</v>
      </c>
      <c r="C41" s="1">
        <v>1</v>
      </c>
      <c r="D41">
        <f>B41*C41</f>
        <v>0</v>
      </c>
      <c r="E41">
        <v>147</v>
      </c>
      <c r="F41">
        <f>J38</f>
        <v>0</v>
      </c>
      <c r="G41" s="1">
        <v>2</v>
      </c>
      <c r="H41">
        <f>F41*G41</f>
        <v>0</v>
      </c>
      <c r="I41">
        <v>32</v>
      </c>
      <c r="J41">
        <f>N38</f>
        <v>0</v>
      </c>
      <c r="K41">
        <v>0.95</v>
      </c>
      <c r="L41">
        <f>J41*K41</f>
        <v>0</v>
      </c>
      <c r="M41">
        <v>112</v>
      </c>
      <c r="N41">
        <f>S38</f>
        <v>0</v>
      </c>
      <c r="O41">
        <v>2.6</v>
      </c>
      <c r="P41">
        <f>N41*O41</f>
        <v>0</v>
      </c>
      <c r="Q41" t="s">
        <v>21</v>
      </c>
      <c r="R41">
        <f>W38</f>
        <v>0</v>
      </c>
      <c r="S41" s="1">
        <v>1.5</v>
      </c>
      <c r="T41">
        <f>R41*S41</f>
        <v>0</v>
      </c>
      <c r="U41" t="s">
        <v>29</v>
      </c>
      <c r="V41">
        <f>AA38</f>
        <v>0</v>
      </c>
      <c r="W41">
        <v>1.2</v>
      </c>
      <c r="X41">
        <f>V41*W41</f>
        <v>0</v>
      </c>
      <c r="Y41">
        <v>132</v>
      </c>
      <c r="Z41">
        <f>AG38</f>
        <v>0</v>
      </c>
      <c r="AA41">
        <v>1.55</v>
      </c>
      <c r="AB41">
        <f>Z41*AA41</f>
        <v>0</v>
      </c>
    </row>
    <row r="42" spans="1:34" x14ac:dyDescent="0.2">
      <c r="A42">
        <v>122</v>
      </c>
      <c r="B42">
        <f>D38</f>
        <v>0</v>
      </c>
      <c r="C42" s="1">
        <v>1</v>
      </c>
      <c r="D42">
        <f>B42*C42</f>
        <v>0</v>
      </c>
      <c r="E42">
        <v>148</v>
      </c>
      <c r="F42">
        <f>K38</f>
        <v>0</v>
      </c>
      <c r="G42" s="1">
        <v>2</v>
      </c>
      <c r="H42">
        <f>F42*G42</f>
        <v>0</v>
      </c>
      <c r="I42">
        <v>59</v>
      </c>
      <c r="J42">
        <f>O38</f>
        <v>0</v>
      </c>
      <c r="K42" s="1">
        <v>2.6</v>
      </c>
      <c r="L42">
        <f>J42*K42</f>
        <v>0</v>
      </c>
      <c r="M42">
        <v>139</v>
      </c>
      <c r="N42">
        <f>T38</f>
        <v>0</v>
      </c>
      <c r="O42">
        <v>1.1499999999999999</v>
      </c>
      <c r="P42">
        <f>N42*O42</f>
        <v>0</v>
      </c>
      <c r="Q42">
        <v>63</v>
      </c>
      <c r="R42">
        <f>X38</f>
        <v>0</v>
      </c>
      <c r="S42" s="1">
        <v>1.2</v>
      </c>
      <c r="T42">
        <f>R42*S42</f>
        <v>0</v>
      </c>
      <c r="U42">
        <v>126</v>
      </c>
      <c r="V42">
        <f>AD38</f>
        <v>0</v>
      </c>
      <c r="W42">
        <v>1</v>
      </c>
      <c r="X42">
        <f>V42*W42</f>
        <v>0</v>
      </c>
      <c r="Y42">
        <v>32522</v>
      </c>
      <c r="Z42">
        <f>AH38</f>
        <v>0</v>
      </c>
      <c r="AA42">
        <v>1.716</v>
      </c>
      <c r="AB42">
        <f>Z42*AA42</f>
        <v>0</v>
      </c>
    </row>
    <row r="43" spans="1:34" x14ac:dyDescent="0.2">
      <c r="A43">
        <v>101</v>
      </c>
      <c r="B43">
        <f>E38</f>
        <v>0</v>
      </c>
      <c r="C43" s="1">
        <v>1</v>
      </c>
      <c r="D43">
        <f>B43*C43</f>
        <v>0</v>
      </c>
      <c r="E43">
        <v>26</v>
      </c>
      <c r="F43">
        <f>L38</f>
        <v>0</v>
      </c>
      <c r="G43">
        <v>1.51</v>
      </c>
      <c r="H43">
        <f>F43*G43</f>
        <v>0</v>
      </c>
      <c r="I43">
        <v>25</v>
      </c>
      <c r="J43">
        <f>P38</f>
        <v>0</v>
      </c>
      <c r="K43" s="1">
        <v>3.5</v>
      </c>
      <c r="L43">
        <f>J43*K43</f>
        <v>0</v>
      </c>
      <c r="M43">
        <v>70</v>
      </c>
      <c r="N43">
        <f>U38</f>
        <v>0</v>
      </c>
      <c r="O43">
        <v>0.9</v>
      </c>
      <c r="P43">
        <f>N43*O43</f>
        <v>0</v>
      </c>
      <c r="Q43">
        <v>35</v>
      </c>
      <c r="R43">
        <f>Y38</f>
        <v>0</v>
      </c>
      <c r="S43">
        <v>6.2</v>
      </c>
      <c r="T43">
        <f>R43*S43</f>
        <v>0</v>
      </c>
      <c r="U43">
        <v>75</v>
      </c>
      <c r="V43">
        <f>AE38</f>
        <v>0</v>
      </c>
      <c r="W43">
        <v>0.9</v>
      </c>
      <c r="X43">
        <f>V43*W43</f>
        <v>0</v>
      </c>
      <c r="Z43">
        <f>AI36</f>
        <v>0</v>
      </c>
      <c r="AA43">
        <v>0</v>
      </c>
      <c r="AB43">
        <f>Z43*AA43</f>
        <v>0</v>
      </c>
      <c r="AD43" s="7"/>
    </row>
    <row r="44" spans="1:34" x14ac:dyDescent="0.2">
      <c r="A44">
        <v>125</v>
      </c>
      <c r="B44">
        <f>F38</f>
        <v>0</v>
      </c>
      <c r="C44" s="1">
        <v>1.75</v>
      </c>
      <c r="D44">
        <f>B44*C44</f>
        <v>0</v>
      </c>
      <c r="E44">
        <v>146</v>
      </c>
      <c r="F44">
        <f>I38</f>
        <v>0</v>
      </c>
      <c r="G44" s="1">
        <v>2</v>
      </c>
      <c r="H44">
        <f>F44*G44</f>
        <v>0</v>
      </c>
      <c r="I44" t="s">
        <v>30</v>
      </c>
      <c r="J44">
        <f>Q38</f>
        <v>0</v>
      </c>
      <c r="K44" s="3">
        <v>35.200000000000003</v>
      </c>
      <c r="L44">
        <f>J44*K44</f>
        <v>0</v>
      </c>
      <c r="M44">
        <v>61</v>
      </c>
      <c r="N44">
        <f>AB38</f>
        <v>0</v>
      </c>
      <c r="O44">
        <v>1.2</v>
      </c>
      <c r="P44">
        <f>N44*O44</f>
        <v>0</v>
      </c>
      <c r="Q44">
        <v>69</v>
      </c>
      <c r="R44">
        <f>AC38</f>
        <v>0</v>
      </c>
      <c r="S44">
        <v>5.5</v>
      </c>
      <c r="T44">
        <f>R44*S44</f>
        <v>0</v>
      </c>
      <c r="U44">
        <v>104</v>
      </c>
      <c r="V44">
        <f>AF38</f>
        <v>0</v>
      </c>
      <c r="W44" s="1">
        <v>1.8</v>
      </c>
      <c r="X44">
        <f>V44*W44</f>
        <v>0</v>
      </c>
      <c r="Z44">
        <f>AJ36</f>
        <v>0</v>
      </c>
      <c r="AA44">
        <v>0</v>
      </c>
      <c r="AB44">
        <f>Z44*AA44</f>
        <v>0</v>
      </c>
      <c r="AH44" s="7" t="s">
        <v>32</v>
      </c>
    </row>
    <row r="45" spans="1:34" x14ac:dyDescent="0.2">
      <c r="B45" t="s">
        <v>17</v>
      </c>
      <c r="D45" s="7"/>
      <c r="F45">
        <v>0</v>
      </c>
      <c r="H45" s="3"/>
      <c r="M45" t="s">
        <v>18</v>
      </c>
      <c r="O45" s="7"/>
      <c r="Q45">
        <v>0</v>
      </c>
      <c r="W45" t="s">
        <v>6</v>
      </c>
      <c r="AA45" s="3">
        <f>D40+D41+D42+D43+D44+H40+H41+H42+H43+H44+L40+L41+L42+L43+L44+P40+P41+P42+P43+P44+T40+T41+T42+T43+T44+X40+X41+X42+X43+X44+AB40+AB41+AB42+AB43+AB44</f>
        <v>0</v>
      </c>
    </row>
    <row r="46" spans="1:34" x14ac:dyDescent="0.2">
      <c r="D46" s="7"/>
      <c r="F46">
        <v>0</v>
      </c>
      <c r="O46" s="7"/>
      <c r="Q46">
        <v>0</v>
      </c>
    </row>
    <row r="47" spans="1:34" x14ac:dyDescent="0.2">
      <c r="D47" s="7"/>
      <c r="F47">
        <v>0</v>
      </c>
      <c r="O47" s="7"/>
      <c r="Q47">
        <v>0</v>
      </c>
      <c r="AG47" s="7"/>
    </row>
    <row r="48" spans="1:34" x14ac:dyDescent="0.2">
      <c r="D48" s="7"/>
      <c r="F48">
        <v>0</v>
      </c>
      <c r="O48" s="7"/>
      <c r="Q48">
        <v>0</v>
      </c>
      <c r="AF48" s="7"/>
    </row>
    <row r="49" spans="4:33" x14ac:dyDescent="0.2">
      <c r="D49" s="7"/>
      <c r="F49">
        <v>0</v>
      </c>
      <c r="L49" s="7"/>
      <c r="O49" s="7"/>
      <c r="Q49">
        <v>0</v>
      </c>
      <c r="U49" t="s">
        <v>19</v>
      </c>
      <c r="AA49" s="3">
        <f>AA45-H52+S52</f>
        <v>0</v>
      </c>
    </row>
    <row r="50" spans="4:33" x14ac:dyDescent="0.2">
      <c r="D50" s="7"/>
      <c r="F50">
        <v>0</v>
      </c>
      <c r="K50" s="7"/>
      <c r="O50" s="7"/>
      <c r="Q50">
        <v>0</v>
      </c>
      <c r="U50" t="s">
        <v>20</v>
      </c>
      <c r="AA50">
        <v>0</v>
      </c>
    </row>
    <row r="51" spans="4:33" x14ac:dyDescent="0.2">
      <c r="D51" s="7"/>
      <c r="F51">
        <v>0</v>
      </c>
      <c r="J51" s="7"/>
      <c r="K51" s="7"/>
      <c r="L51" s="7"/>
      <c r="O51" s="7"/>
      <c r="Q51">
        <v>0</v>
      </c>
      <c r="AA51" s="3">
        <f>AA49-AA50</f>
        <v>0</v>
      </c>
    </row>
    <row r="52" spans="4:33" x14ac:dyDescent="0.2">
      <c r="E52" t="s">
        <v>7</v>
      </c>
      <c r="H52">
        <f>SUM(F45:F51)</f>
        <v>0</v>
      </c>
      <c r="J52" s="7"/>
      <c r="K52" s="7"/>
      <c r="L52" s="7"/>
      <c r="P52" t="s">
        <v>8</v>
      </c>
      <c r="S52">
        <f>SUM(Q45:Q51)</f>
        <v>0</v>
      </c>
      <c r="AE52" s="7"/>
    </row>
    <row r="53" spans="4:33" x14ac:dyDescent="0.2">
      <c r="J53" s="7"/>
      <c r="K53" s="7"/>
      <c r="L53" s="7"/>
    </row>
    <row r="54" spans="4:33" x14ac:dyDescent="0.2">
      <c r="J54" s="7"/>
      <c r="K54" s="7"/>
    </row>
    <row r="55" spans="4:33" x14ac:dyDescent="0.2">
      <c r="J55" s="7"/>
      <c r="K55" s="7"/>
      <c r="S55" s="3"/>
    </row>
    <row r="56" spans="4:33" x14ac:dyDescent="0.2">
      <c r="K56" s="7"/>
    </row>
    <row r="57" spans="4:33" x14ac:dyDescent="0.2">
      <c r="K57" s="7"/>
      <c r="S57" s="3"/>
    </row>
    <row r="58" spans="4:33" x14ac:dyDescent="0.2">
      <c r="K58" s="7"/>
    </row>
    <row r="59" spans="4:33" x14ac:dyDescent="0.2">
      <c r="K59" s="7"/>
    </row>
    <row r="60" spans="4:33" x14ac:dyDescent="0.2">
      <c r="K60" s="7"/>
    </row>
    <row r="61" spans="4:33" x14ac:dyDescent="0.2">
      <c r="K61" s="7"/>
    </row>
    <row r="62" spans="4:33" x14ac:dyDescent="0.2">
      <c r="K62" s="7"/>
      <c r="AB62" s="1"/>
      <c r="AF62" s="1"/>
    </row>
    <row r="63" spans="4:33" x14ac:dyDescent="0.2">
      <c r="K63" s="7"/>
      <c r="AG63" s="3"/>
    </row>
    <row r="64" spans="4:33" x14ac:dyDescent="0.2">
      <c r="K64" s="7"/>
    </row>
    <row r="65" spans="8:33" x14ac:dyDescent="0.2">
      <c r="H65" s="3"/>
      <c r="K65" s="7"/>
      <c r="AG65" s="3"/>
    </row>
    <row r="66" spans="8:33" x14ac:dyDescent="0.2">
      <c r="K66" s="7"/>
    </row>
    <row r="67" spans="8:33" x14ac:dyDescent="0.2">
      <c r="H67" s="3"/>
      <c r="K67" s="7"/>
    </row>
    <row r="68" spans="8:33" x14ac:dyDescent="0.2">
      <c r="K68" s="7"/>
    </row>
    <row r="69" spans="8:33" x14ac:dyDescent="0.2">
      <c r="K69" s="7"/>
    </row>
    <row r="70" spans="8:33" x14ac:dyDescent="0.2">
      <c r="K70" s="7"/>
    </row>
    <row r="71" spans="8:33" x14ac:dyDescent="0.2">
      <c r="K71" s="7"/>
    </row>
    <row r="72" spans="8:33" x14ac:dyDescent="0.2">
      <c r="K72" s="7"/>
      <c r="Z72" s="3"/>
    </row>
    <row r="73" spans="8:33" x14ac:dyDescent="0.2">
      <c r="K73" s="5"/>
    </row>
    <row r="74" spans="8:33" x14ac:dyDescent="0.2">
      <c r="K74" s="7"/>
      <c r="Z74" s="3"/>
    </row>
    <row r="75" spans="8:33" x14ac:dyDescent="0.2">
      <c r="K75" s="7"/>
    </row>
    <row r="76" spans="8:33" x14ac:dyDescent="0.2">
      <c r="K76" s="7"/>
    </row>
    <row r="77" spans="8:33" x14ac:dyDescent="0.2">
      <c r="K77" s="7"/>
    </row>
    <row r="78" spans="8:33" x14ac:dyDescent="0.2">
      <c r="K78" s="7"/>
    </row>
  </sheetData>
  <phoneticPr fontId="0" type="noConversion"/>
  <pageMargins left="0.39370078740157483" right="0.39370078740157483" top="0.98425196850393704" bottom="0.98425196850393704" header="0.51181102362204722" footer="0.51181102362204722"/>
  <pageSetup paperSize="9" scale="70" pageOrder="overThenDown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Eboli-SA-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Vasso</dc:creator>
  <cp:lastModifiedBy>Oscar Vasso</cp:lastModifiedBy>
  <cp:lastPrinted>2026-05-08T10:33:15Z</cp:lastPrinted>
  <dcterms:created xsi:type="dcterms:W3CDTF">2001-08-03T12:39:39Z</dcterms:created>
  <dcterms:modified xsi:type="dcterms:W3CDTF">2026-05-08T17:51:59Z</dcterms:modified>
</cp:coreProperties>
</file>